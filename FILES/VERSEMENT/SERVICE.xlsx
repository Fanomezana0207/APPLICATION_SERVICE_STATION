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6.253\d\FANOMEZANA\zo\"/>
    </mc:Choice>
  </mc:AlternateContent>
  <xr:revisionPtr revIDLastSave="0" documentId="8_{F9D8583B-6650-4117-B753-2D227C98A944}" xr6:coauthVersionLast="47" xr6:coauthVersionMax="47" xr10:uidLastSave="{00000000-0000-0000-0000-000000000000}"/>
  <bookViews>
    <workbookView xWindow="-120" yWindow="-120" windowWidth="19440" windowHeight="14880" xr2:uid="{119F96E4-ADFF-43CF-970C-0E0BF3D7E99E}"/>
  </bookViews>
  <sheets>
    <sheet name="Feuil1" sheetId="1" r:id="rId1"/>
    <sheet name="Feuil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D34" i="2"/>
  <c r="C34" i="2"/>
  <c r="B34" i="2"/>
  <c r="E38" i="2" s="1"/>
  <c r="L35" i="1"/>
  <c r="K35" i="1"/>
  <c r="I35" i="1"/>
  <c r="H35" i="1"/>
  <c r="J35" i="1" s="1"/>
  <c r="F35" i="1"/>
  <c r="E35" i="1"/>
  <c r="G35" i="1" s="1"/>
  <c r="C35" i="1"/>
  <c r="B35" i="1"/>
  <c r="D35" i="1" s="1"/>
  <c r="M34" i="1"/>
  <c r="J34" i="1"/>
  <c r="G34" i="1"/>
  <c r="D34" i="1"/>
  <c r="M33" i="1"/>
  <c r="J33" i="1"/>
  <c r="G33" i="1"/>
  <c r="D33" i="1"/>
  <c r="M32" i="1"/>
  <c r="J32" i="1"/>
  <c r="G32" i="1"/>
  <c r="D32" i="1"/>
  <c r="M31" i="1"/>
  <c r="J31" i="1"/>
  <c r="G31" i="1"/>
  <c r="D31" i="1"/>
  <c r="M30" i="1"/>
  <c r="J30" i="1"/>
  <c r="G30" i="1"/>
  <c r="D30" i="1"/>
  <c r="M29" i="1"/>
  <c r="J29" i="1"/>
  <c r="G29" i="1"/>
  <c r="D29" i="1"/>
  <c r="M28" i="1"/>
  <c r="J28" i="1"/>
  <c r="G28" i="1"/>
  <c r="D28" i="1"/>
  <c r="M27" i="1"/>
  <c r="J27" i="1"/>
  <c r="G27" i="1"/>
  <c r="D27" i="1"/>
  <c r="M26" i="1"/>
  <c r="J26" i="1"/>
  <c r="G26" i="1"/>
  <c r="D26" i="1"/>
  <c r="M25" i="1"/>
  <c r="J25" i="1"/>
  <c r="G25" i="1"/>
  <c r="D25" i="1"/>
  <c r="M24" i="1"/>
  <c r="J24" i="1"/>
  <c r="G24" i="1"/>
  <c r="D24" i="1"/>
  <c r="M23" i="1"/>
  <c r="J23" i="1"/>
  <c r="G23" i="1"/>
  <c r="D23" i="1"/>
  <c r="M22" i="1"/>
  <c r="J22" i="1"/>
  <c r="G22" i="1"/>
  <c r="D22" i="1"/>
  <c r="M21" i="1"/>
  <c r="J21" i="1"/>
  <c r="G21" i="1"/>
  <c r="D21" i="1"/>
  <c r="M20" i="1"/>
  <c r="J20" i="1"/>
  <c r="G20" i="1"/>
  <c r="D20" i="1"/>
  <c r="M19" i="1"/>
  <c r="J19" i="1"/>
  <c r="G19" i="1"/>
  <c r="D19" i="1"/>
  <c r="M18" i="1"/>
  <c r="J18" i="1"/>
  <c r="G18" i="1"/>
  <c r="D18" i="1"/>
  <c r="M17" i="1"/>
  <c r="J17" i="1"/>
  <c r="G17" i="1"/>
  <c r="D17" i="1"/>
  <c r="M16" i="1"/>
  <c r="J16" i="1"/>
  <c r="G16" i="1"/>
  <c r="D16" i="1"/>
  <c r="M15" i="1"/>
  <c r="J15" i="1"/>
  <c r="G15" i="1"/>
  <c r="D15" i="1"/>
  <c r="M14" i="1"/>
  <c r="J14" i="1"/>
  <c r="G14" i="1"/>
  <c r="D14" i="1"/>
  <c r="M13" i="1"/>
  <c r="J13" i="1"/>
  <c r="G13" i="1"/>
  <c r="D13" i="1"/>
  <c r="M12" i="1"/>
  <c r="J12" i="1"/>
  <c r="G12" i="1"/>
  <c r="D12" i="1"/>
  <c r="M11" i="1"/>
  <c r="J11" i="1"/>
  <c r="G11" i="1"/>
  <c r="D11" i="1"/>
  <c r="M10" i="1"/>
  <c r="J10" i="1"/>
  <c r="G10" i="1"/>
  <c r="D10" i="1"/>
  <c r="M9" i="1"/>
  <c r="J9" i="1"/>
  <c r="G9" i="1"/>
  <c r="D9" i="1"/>
  <c r="M8" i="1"/>
  <c r="J8" i="1"/>
  <c r="G8" i="1"/>
  <c r="D8" i="1"/>
  <c r="M7" i="1"/>
  <c r="J7" i="1"/>
  <c r="G7" i="1"/>
  <c r="D7" i="1"/>
  <c r="M6" i="1"/>
  <c r="J6" i="1"/>
  <c r="G6" i="1"/>
  <c r="D6" i="1"/>
  <c r="M5" i="1"/>
  <c r="J5" i="1"/>
  <c r="G5" i="1"/>
  <c r="D5" i="1"/>
  <c r="M4" i="1"/>
  <c r="M35" i="1" s="1"/>
  <c r="J4" i="1"/>
  <c r="G4" i="1"/>
  <c r="D4" i="1"/>
</calcChain>
</file>

<file path=xl/sharedStrings.xml><?xml version="1.0" encoding="utf-8"?>
<sst xmlns="http://schemas.openxmlformats.org/spreadsheetml/2006/main" count="22" uniqueCount="13">
  <si>
    <t>SERVICE SUR STATION Shell RAVINALA OCTOBRE</t>
  </si>
  <si>
    <t>LAVAGE</t>
  </si>
  <si>
    <t>VIDANGE</t>
  </si>
  <si>
    <t>VUCLA</t>
  </si>
  <si>
    <t>PARALLESIME</t>
  </si>
  <si>
    <t>VERSE</t>
  </si>
  <si>
    <t>LOGICIEL</t>
  </si>
  <si>
    <t>DIFF</t>
  </si>
  <si>
    <t>lavage</t>
  </si>
  <si>
    <t>vidange</t>
  </si>
  <si>
    <t>vulca</t>
  </si>
  <si>
    <t>paralelisme</t>
  </si>
  <si>
    <t>SERVICE SUR STATION Shell ANOSI OCTOBRE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</si>
</sst>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6" formatCode="_-* #,##0.00\ _€_-;\-* #,##0.00\ _€_-;_-* &quot;-&quot;??\ _€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164" fontId="0" fillId="0" borderId="1" xfId="0" applyNumberFormat="1" applyBorder="1"/>
    <xf numFmtId="43" fontId="0" fillId="0" borderId="1" xfId="1" applyFont="1" applyBorder="1"/>
    <xf numFmtId="43" fontId="0" fillId="2" borderId="1" xfId="1" applyFont="1" applyFill="1" applyBorder="1"/>
    <xf numFmtId="43" fontId="0" fillId="3" borderId="1" xfId="1" applyFont="1" applyFill="1" applyBorder="1"/>
    <xf numFmtId="43" fontId="0" fillId="4" borderId="1" xfId="1" applyFont="1" applyFill="1" applyBorder="1"/>
    <xf numFmtId="43" fontId="0" fillId="5" borderId="1" xfId="1" applyFont="1" applyFill="1" applyBorder="1"/>
    <xf numFmtId="43" fontId="0" fillId="0" borderId="1" xfId="1" applyFont="1" applyFill="1" applyBorder="1"/>
    <xf numFmtId="43" fontId="2" fillId="0" borderId="1" xfId="1" applyFont="1" applyBorder="1"/>
    <xf numFmtId="43" fontId="2" fillId="2" borderId="1" xfId="1" applyFont="1" applyFill="1" applyBorder="1"/>
    <xf numFmtId="43" fontId="2" fillId="3" borderId="1" xfId="1" applyFont="1" applyFill="1" applyBorder="1"/>
    <xf numFmtId="43" fontId="2" fillId="4" borderId="1" xfId="1" applyFont="1" applyFill="1" applyBorder="1"/>
    <xf numFmtId="43" fontId="2" fillId="5" borderId="1" xfId="1" applyFont="1" applyFill="1" applyBorder="1"/>
    <xf numFmtId="0" fontId="5" fillId="0" borderId="1" xfId="0" applyFont="1" applyBorder="1" applyAlignment="1">
      <alignment vertical="center"/>
    </xf>
    <xf numFmtId="16" fontId="0" fillId="0" borderId="1" xfId="0" applyNumberFormat="1" applyBorder="1"/>
    <xf numFmtId="43" fontId="0" fillId="0" borderId="4" xfId="1" applyFont="1" applyFill="1" applyBorder="1"/>
    <xf numFmtId="43" fontId="0" fillId="0" borderId="0" xfId="1" applyFont="1"/>
    <xf numFmtId="166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114300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10CB075-6788-4C75-BD62-08B38F9DD120}"/>
            </a:ext>
          </a:extLst>
        </xdr:cNvPr>
        <xdr:cNvSpPr>
          <a:spLocks noChangeAspect="1" noChangeArrowheads="1"/>
        </xdr:cNvSpPr>
      </xdr:nvSpPr>
      <xdr:spPr bwMode="auto">
        <a:xfrm>
          <a:off x="4210050" y="32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OTAHIANA%202026\SERVICE%20RAVINALA%20ANOSY\RECAP%20SERVICE.xlsx" TargetMode="External"/><Relationship Id="rId1" Type="http://schemas.openxmlformats.org/officeDocument/2006/relationships/externalLinkPath" Target="file:///D:\ZOTAHIANA%202026\SERVICE%20RAVINALA%20ANOSY\RECAP%20SERV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ICE RAVINALA SEPTEMBRE"/>
      <sheetName val="Feuil2"/>
      <sheetName val="Feuil1"/>
      <sheetName val="SERVICE ANOSIBE SEPTEMBRE "/>
      <sheetName val="Feuil4"/>
    </sheetNames>
    <sheetDataSet>
      <sheetData sheetId="0">
        <row r="35">
          <cell r="B35">
            <v>14180000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D5CB-79EC-48D6-A33E-61022D935D98}">
  <dimension ref="A1:M35"/>
  <sheetViews>
    <sheetView tabSelected="1" workbookViewId="0">
      <selection activeCell="B11" sqref="B11"/>
    </sheetView>
  </sheetViews>
  <sheetFormatPr baseColWidth="10" defaultRowHeight="15" x14ac:dyDescent="0.25"/>
  <cols>
    <col min="1" max="1" width="25.42578125" customWidth="1"/>
  </cols>
  <sheetData>
    <row r="1" spans="1:13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6.25" x14ac:dyDescent="0.4">
      <c r="A2" s="1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</row>
    <row r="3" spans="1:13" ht="24" x14ac:dyDescent="0.4">
      <c r="A3" s="1"/>
      <c r="B3" s="5" t="s">
        <v>5</v>
      </c>
      <c r="C3" s="6" t="s">
        <v>6</v>
      </c>
      <c r="D3" s="5" t="s">
        <v>7</v>
      </c>
      <c r="E3" s="5" t="s">
        <v>5</v>
      </c>
      <c r="F3" s="6" t="s">
        <v>6</v>
      </c>
      <c r="G3" s="5" t="s">
        <v>7</v>
      </c>
      <c r="H3" s="5" t="s">
        <v>5</v>
      </c>
      <c r="I3" s="6" t="s">
        <v>6</v>
      </c>
      <c r="J3" s="5" t="s">
        <v>7</v>
      </c>
      <c r="K3" s="5" t="s">
        <v>5</v>
      </c>
      <c r="L3" s="6" t="s">
        <v>6</v>
      </c>
      <c r="M3" s="5" t="s">
        <v>7</v>
      </c>
    </row>
    <row r="4" spans="1:13" x14ac:dyDescent="0.25">
      <c r="A4" s="7">
        <v>46296</v>
      </c>
      <c r="B4" s="8"/>
      <c r="C4" s="9"/>
      <c r="D4" s="8">
        <f>+B4-C4</f>
        <v>0</v>
      </c>
      <c r="E4" s="8"/>
      <c r="F4" s="10"/>
      <c r="G4" s="8">
        <f>+E4-F4</f>
        <v>0</v>
      </c>
      <c r="H4" s="8"/>
      <c r="I4" s="11"/>
      <c r="J4" s="8">
        <f>+H4-I4</f>
        <v>0</v>
      </c>
      <c r="K4" s="8"/>
      <c r="L4" s="12"/>
      <c r="M4" s="13">
        <f>+K4-L4</f>
        <v>0</v>
      </c>
    </row>
    <row r="5" spans="1:13" x14ac:dyDescent="0.25">
      <c r="A5" s="7">
        <v>46297</v>
      </c>
      <c r="B5" s="8">
        <v>499000</v>
      </c>
      <c r="C5" s="9"/>
      <c r="D5" s="8">
        <f t="shared" ref="D5:D34" si="0">+B5-C5</f>
        <v>499000</v>
      </c>
      <c r="E5" s="8">
        <v>140000</v>
      </c>
      <c r="F5" s="10"/>
      <c r="G5" s="8">
        <f t="shared" ref="G5:G34" si="1">+E5-F5</f>
        <v>140000</v>
      </c>
      <c r="H5" s="8">
        <v>159000</v>
      </c>
      <c r="I5" s="11"/>
      <c r="J5" s="8">
        <f t="shared" ref="J5:J35" si="2">+H5-I5</f>
        <v>159000</v>
      </c>
      <c r="K5" s="8">
        <v>20000</v>
      </c>
      <c r="L5" s="12"/>
      <c r="M5" s="13">
        <f t="shared" ref="M5:M34" si="3">+K5-L5</f>
        <v>20000</v>
      </c>
    </row>
    <row r="6" spans="1:13" x14ac:dyDescent="0.25">
      <c r="A6" s="7">
        <v>46298</v>
      </c>
      <c r="B6" s="8"/>
      <c r="C6" s="9"/>
      <c r="D6" s="8">
        <f t="shared" si="0"/>
        <v>0</v>
      </c>
      <c r="E6" s="8"/>
      <c r="F6" s="10"/>
      <c r="G6" s="8">
        <f t="shared" si="1"/>
        <v>0</v>
      </c>
      <c r="H6" s="8"/>
      <c r="I6" s="11"/>
      <c r="J6" s="8">
        <f t="shared" si="2"/>
        <v>0</v>
      </c>
      <c r="K6" s="8"/>
      <c r="L6" s="12"/>
      <c r="M6" s="13">
        <f t="shared" si="3"/>
        <v>0</v>
      </c>
    </row>
    <row r="7" spans="1:13" x14ac:dyDescent="0.25">
      <c r="A7" s="7">
        <v>46299</v>
      </c>
      <c r="B7" s="8"/>
      <c r="C7" s="9"/>
      <c r="D7" s="8">
        <f t="shared" si="0"/>
        <v>0</v>
      </c>
      <c r="E7" s="8"/>
      <c r="F7" s="10"/>
      <c r="G7" s="8">
        <f t="shared" si="1"/>
        <v>0</v>
      </c>
      <c r="H7" s="8"/>
      <c r="I7" s="11"/>
      <c r="J7" s="8">
        <f t="shared" si="2"/>
        <v>0</v>
      </c>
      <c r="K7" s="8"/>
      <c r="L7" s="12"/>
      <c r="M7" s="13">
        <f t="shared" si="3"/>
        <v>0</v>
      </c>
    </row>
    <row r="8" spans="1:13" x14ac:dyDescent="0.25">
      <c r="A8" s="7">
        <v>46300</v>
      </c>
      <c r="B8" s="8">
        <v>658000</v>
      </c>
      <c r="C8" s="9">
        <v>658000</v>
      </c>
      <c r="D8" s="8">
        <f t="shared" si="0"/>
        <v>0</v>
      </c>
      <c r="E8" s="8">
        <v>170000</v>
      </c>
      <c r="F8" s="10">
        <v>170000</v>
      </c>
      <c r="G8" s="8">
        <f t="shared" si="1"/>
        <v>0</v>
      </c>
      <c r="H8" s="8">
        <v>105000</v>
      </c>
      <c r="I8" s="11">
        <v>105000</v>
      </c>
      <c r="J8" s="8">
        <f t="shared" si="2"/>
        <v>0</v>
      </c>
      <c r="K8" s="8"/>
      <c r="L8" s="12"/>
      <c r="M8" s="13">
        <f t="shared" si="3"/>
        <v>0</v>
      </c>
    </row>
    <row r="9" spans="1:13" x14ac:dyDescent="0.25">
      <c r="A9" s="7">
        <v>46301</v>
      </c>
      <c r="B9" s="8">
        <v>446000</v>
      </c>
      <c r="C9" s="9">
        <v>446000</v>
      </c>
      <c r="D9" s="8">
        <f t="shared" si="0"/>
        <v>0</v>
      </c>
      <c r="E9" s="8">
        <v>143000</v>
      </c>
      <c r="F9" s="10">
        <v>163000</v>
      </c>
      <c r="G9" s="8">
        <f t="shared" si="1"/>
        <v>-20000</v>
      </c>
      <c r="H9" s="8">
        <v>92000</v>
      </c>
      <c r="I9" s="11">
        <v>92000</v>
      </c>
      <c r="J9" s="8">
        <f t="shared" si="2"/>
        <v>0</v>
      </c>
      <c r="K9" s="8">
        <v>0</v>
      </c>
      <c r="L9" s="12"/>
      <c r="M9" s="13">
        <f t="shared" si="3"/>
        <v>0</v>
      </c>
    </row>
    <row r="10" spans="1:13" x14ac:dyDescent="0.25">
      <c r="A10" s="7">
        <v>46302</v>
      </c>
      <c r="B10" s="8">
        <v>444000</v>
      </c>
      <c r="C10" s="9">
        <v>449000</v>
      </c>
      <c r="D10" s="8">
        <f t="shared" si="0"/>
        <v>-5000</v>
      </c>
      <c r="E10" s="8">
        <v>120000</v>
      </c>
      <c r="F10" s="10">
        <v>120000</v>
      </c>
      <c r="G10" s="8">
        <f t="shared" si="1"/>
        <v>0</v>
      </c>
      <c r="H10" s="8">
        <v>91000</v>
      </c>
      <c r="I10" s="11"/>
      <c r="J10" s="8">
        <f t="shared" si="2"/>
        <v>91000</v>
      </c>
      <c r="K10" s="8"/>
      <c r="L10" s="12"/>
      <c r="M10" s="13">
        <f t="shared" si="3"/>
        <v>0</v>
      </c>
    </row>
    <row r="11" spans="1:13" x14ac:dyDescent="0.25">
      <c r="A11" s="7">
        <v>46303</v>
      </c>
      <c r="B11" s="8">
        <v>427000</v>
      </c>
      <c r="C11" s="9"/>
      <c r="D11" s="8">
        <f t="shared" si="0"/>
        <v>427000</v>
      </c>
      <c r="E11" s="8">
        <v>135000</v>
      </c>
      <c r="F11" s="10"/>
      <c r="G11" s="8">
        <f t="shared" si="1"/>
        <v>135000</v>
      </c>
      <c r="H11" s="8">
        <v>63000</v>
      </c>
      <c r="I11" s="11"/>
      <c r="J11" s="8">
        <f t="shared" si="2"/>
        <v>63000</v>
      </c>
      <c r="K11" s="8">
        <v>40000</v>
      </c>
      <c r="L11" s="12"/>
      <c r="M11" s="13">
        <f t="shared" si="3"/>
        <v>40000</v>
      </c>
    </row>
    <row r="12" spans="1:13" x14ac:dyDescent="0.25">
      <c r="A12" s="7">
        <v>46304</v>
      </c>
      <c r="B12" s="8"/>
      <c r="C12" s="9"/>
      <c r="D12" s="8">
        <f t="shared" si="0"/>
        <v>0</v>
      </c>
      <c r="E12" s="8"/>
      <c r="F12" s="10"/>
      <c r="G12" s="8">
        <f t="shared" si="1"/>
        <v>0</v>
      </c>
      <c r="H12" s="8"/>
      <c r="I12" s="11"/>
      <c r="J12" s="8">
        <f t="shared" si="2"/>
        <v>0</v>
      </c>
      <c r="K12" s="8"/>
      <c r="L12" s="12"/>
      <c r="M12" s="13">
        <f t="shared" si="3"/>
        <v>0</v>
      </c>
    </row>
    <row r="13" spans="1:13" x14ac:dyDescent="0.25">
      <c r="A13" s="7">
        <v>46305</v>
      </c>
      <c r="B13" s="8"/>
      <c r="C13" s="9"/>
      <c r="D13" s="8">
        <f t="shared" si="0"/>
        <v>0</v>
      </c>
      <c r="E13" s="8"/>
      <c r="F13" s="10"/>
      <c r="G13" s="8">
        <f t="shared" si="1"/>
        <v>0</v>
      </c>
      <c r="H13" s="8"/>
      <c r="I13" s="11"/>
      <c r="J13" s="8">
        <f t="shared" si="2"/>
        <v>0</v>
      </c>
      <c r="K13" s="8"/>
      <c r="L13" s="12"/>
      <c r="M13" s="13">
        <f t="shared" si="3"/>
        <v>0</v>
      </c>
    </row>
    <row r="14" spans="1:13" x14ac:dyDescent="0.25">
      <c r="A14" s="7">
        <v>46306</v>
      </c>
      <c r="B14" s="8"/>
      <c r="C14" s="9"/>
      <c r="D14" s="8">
        <f t="shared" si="0"/>
        <v>0</v>
      </c>
      <c r="E14" s="8"/>
      <c r="F14" s="10"/>
      <c r="G14" s="8">
        <f t="shared" si="1"/>
        <v>0</v>
      </c>
      <c r="H14" s="8"/>
      <c r="I14" s="11"/>
      <c r="J14" s="8">
        <f t="shared" si="2"/>
        <v>0</v>
      </c>
      <c r="K14" s="8"/>
      <c r="L14" s="12"/>
      <c r="M14" s="13">
        <f t="shared" si="3"/>
        <v>0</v>
      </c>
    </row>
    <row r="15" spans="1:13" x14ac:dyDescent="0.25">
      <c r="A15" s="7">
        <v>46307</v>
      </c>
      <c r="B15" s="8"/>
      <c r="C15" s="9"/>
      <c r="D15" s="8">
        <f t="shared" si="0"/>
        <v>0</v>
      </c>
      <c r="E15" s="8"/>
      <c r="F15" s="10"/>
      <c r="G15" s="8">
        <f t="shared" si="1"/>
        <v>0</v>
      </c>
      <c r="H15" s="8"/>
      <c r="I15" s="11"/>
      <c r="J15" s="8">
        <f t="shared" si="2"/>
        <v>0</v>
      </c>
      <c r="K15" s="8"/>
      <c r="L15" s="12"/>
      <c r="M15" s="13">
        <f t="shared" si="3"/>
        <v>0</v>
      </c>
    </row>
    <row r="16" spans="1:13" x14ac:dyDescent="0.25">
      <c r="A16" s="7">
        <v>46308</v>
      </c>
      <c r="B16" s="8"/>
      <c r="C16" s="9"/>
      <c r="D16" s="8">
        <f t="shared" si="0"/>
        <v>0</v>
      </c>
      <c r="E16" s="8"/>
      <c r="F16" s="10"/>
      <c r="G16" s="8">
        <f t="shared" si="1"/>
        <v>0</v>
      </c>
      <c r="H16" s="8"/>
      <c r="I16" s="11"/>
      <c r="J16" s="8">
        <f t="shared" si="2"/>
        <v>0</v>
      </c>
      <c r="K16" s="8"/>
      <c r="L16" s="12"/>
      <c r="M16" s="13">
        <f t="shared" si="3"/>
        <v>0</v>
      </c>
    </row>
    <row r="17" spans="1:13" x14ac:dyDescent="0.25">
      <c r="A17" s="7">
        <v>46309</v>
      </c>
      <c r="B17" s="8"/>
      <c r="C17" s="9"/>
      <c r="D17" s="8">
        <f t="shared" si="0"/>
        <v>0</v>
      </c>
      <c r="E17" s="8"/>
      <c r="F17" s="10"/>
      <c r="G17" s="8">
        <f t="shared" si="1"/>
        <v>0</v>
      </c>
      <c r="H17" s="8"/>
      <c r="I17" s="11"/>
      <c r="J17" s="8">
        <f t="shared" si="2"/>
        <v>0</v>
      </c>
      <c r="K17" s="8"/>
      <c r="L17" s="12"/>
      <c r="M17" s="13">
        <f t="shared" si="3"/>
        <v>0</v>
      </c>
    </row>
    <row r="18" spans="1:13" x14ac:dyDescent="0.25">
      <c r="A18" s="7">
        <v>46310</v>
      </c>
      <c r="B18" s="8"/>
      <c r="C18" s="9"/>
      <c r="D18" s="8">
        <f t="shared" si="0"/>
        <v>0</v>
      </c>
      <c r="E18" s="8"/>
      <c r="F18" s="10"/>
      <c r="G18" s="8">
        <f t="shared" si="1"/>
        <v>0</v>
      </c>
      <c r="H18" s="8"/>
      <c r="I18" s="11"/>
      <c r="J18" s="8">
        <f t="shared" si="2"/>
        <v>0</v>
      </c>
      <c r="K18" s="8"/>
      <c r="L18" s="12"/>
      <c r="M18" s="13">
        <f t="shared" si="3"/>
        <v>0</v>
      </c>
    </row>
    <row r="19" spans="1:13" x14ac:dyDescent="0.25">
      <c r="A19" s="7">
        <v>46311</v>
      </c>
      <c r="B19" s="8"/>
      <c r="C19" s="9"/>
      <c r="D19" s="8">
        <f t="shared" si="0"/>
        <v>0</v>
      </c>
      <c r="E19" s="8"/>
      <c r="F19" s="10"/>
      <c r="G19" s="8">
        <f t="shared" si="1"/>
        <v>0</v>
      </c>
      <c r="H19" s="8"/>
      <c r="I19" s="11"/>
      <c r="J19" s="8">
        <f t="shared" si="2"/>
        <v>0</v>
      </c>
      <c r="K19" s="8"/>
      <c r="L19" s="12"/>
      <c r="M19" s="13">
        <f t="shared" si="3"/>
        <v>0</v>
      </c>
    </row>
    <row r="20" spans="1:13" x14ac:dyDescent="0.25">
      <c r="A20" s="7">
        <v>46312</v>
      </c>
      <c r="B20" s="8"/>
      <c r="C20" s="9"/>
      <c r="D20" s="8">
        <f t="shared" si="0"/>
        <v>0</v>
      </c>
      <c r="E20" s="8"/>
      <c r="F20" s="10"/>
      <c r="G20" s="8">
        <f t="shared" si="1"/>
        <v>0</v>
      </c>
      <c r="H20" s="8"/>
      <c r="I20" s="11"/>
      <c r="J20" s="8">
        <f t="shared" si="2"/>
        <v>0</v>
      </c>
      <c r="K20" s="8"/>
      <c r="L20" s="12"/>
      <c r="M20" s="13">
        <f t="shared" si="3"/>
        <v>0</v>
      </c>
    </row>
    <row r="21" spans="1:13" x14ac:dyDescent="0.25">
      <c r="A21" s="7">
        <v>46313</v>
      </c>
      <c r="B21" s="8"/>
      <c r="C21" s="9"/>
      <c r="D21" s="8">
        <f t="shared" si="0"/>
        <v>0</v>
      </c>
      <c r="E21" s="8"/>
      <c r="F21" s="10"/>
      <c r="G21" s="8">
        <f t="shared" si="1"/>
        <v>0</v>
      </c>
      <c r="H21" s="8"/>
      <c r="I21" s="11"/>
      <c r="J21" s="8">
        <f t="shared" si="2"/>
        <v>0</v>
      </c>
      <c r="K21" s="8"/>
      <c r="L21" s="12"/>
      <c r="M21" s="13">
        <f t="shared" si="3"/>
        <v>0</v>
      </c>
    </row>
    <row r="22" spans="1:13" x14ac:dyDescent="0.25">
      <c r="A22" s="7">
        <v>46314</v>
      </c>
      <c r="B22" s="8"/>
      <c r="C22" s="9"/>
      <c r="D22" s="8">
        <f t="shared" si="0"/>
        <v>0</v>
      </c>
      <c r="E22" s="8"/>
      <c r="F22" s="10"/>
      <c r="G22" s="8">
        <f t="shared" si="1"/>
        <v>0</v>
      </c>
      <c r="H22" s="8"/>
      <c r="I22" s="11"/>
      <c r="J22" s="8">
        <f t="shared" si="2"/>
        <v>0</v>
      </c>
      <c r="K22" s="8"/>
      <c r="L22" s="12"/>
      <c r="M22" s="13">
        <f t="shared" si="3"/>
        <v>0</v>
      </c>
    </row>
    <row r="23" spans="1:13" x14ac:dyDescent="0.25">
      <c r="A23" s="7">
        <v>46315</v>
      </c>
      <c r="B23" s="8"/>
      <c r="C23" s="9"/>
      <c r="D23" s="8">
        <f t="shared" si="0"/>
        <v>0</v>
      </c>
      <c r="E23" s="8"/>
      <c r="F23" s="10"/>
      <c r="G23" s="8">
        <f t="shared" si="1"/>
        <v>0</v>
      </c>
      <c r="H23" s="8"/>
      <c r="I23" s="11"/>
      <c r="J23" s="8">
        <f t="shared" si="2"/>
        <v>0</v>
      </c>
      <c r="K23" s="8"/>
      <c r="L23" s="12"/>
      <c r="M23" s="13">
        <f t="shared" si="3"/>
        <v>0</v>
      </c>
    </row>
    <row r="24" spans="1:13" x14ac:dyDescent="0.25">
      <c r="A24" s="7">
        <v>46316</v>
      </c>
      <c r="B24" s="14"/>
      <c r="C24" s="15"/>
      <c r="D24" s="8">
        <f t="shared" si="0"/>
        <v>0</v>
      </c>
      <c r="E24" s="14"/>
      <c r="F24" s="16"/>
      <c r="G24" s="8">
        <f t="shared" si="1"/>
        <v>0</v>
      </c>
      <c r="H24" s="14"/>
      <c r="I24" s="17"/>
      <c r="J24" s="8">
        <f t="shared" si="2"/>
        <v>0</v>
      </c>
      <c r="K24" s="14"/>
      <c r="L24" s="18"/>
      <c r="M24" s="13">
        <f t="shared" si="3"/>
        <v>0</v>
      </c>
    </row>
    <row r="25" spans="1:13" x14ac:dyDescent="0.25">
      <c r="A25" s="7">
        <v>46317</v>
      </c>
      <c r="B25" s="8"/>
      <c r="C25" s="9"/>
      <c r="D25" s="8">
        <f t="shared" si="0"/>
        <v>0</v>
      </c>
      <c r="E25" s="8"/>
      <c r="F25" s="10"/>
      <c r="G25" s="8">
        <f t="shared" si="1"/>
        <v>0</v>
      </c>
      <c r="H25" s="8"/>
      <c r="I25" s="11"/>
      <c r="J25" s="8">
        <f t="shared" si="2"/>
        <v>0</v>
      </c>
      <c r="K25" s="8"/>
      <c r="L25" s="12"/>
      <c r="M25" s="13">
        <f t="shared" si="3"/>
        <v>0</v>
      </c>
    </row>
    <row r="26" spans="1:13" x14ac:dyDescent="0.25">
      <c r="A26" s="7">
        <v>46318</v>
      </c>
      <c r="B26" s="8"/>
      <c r="C26" s="9"/>
      <c r="D26" s="8">
        <f t="shared" si="0"/>
        <v>0</v>
      </c>
      <c r="E26" s="8"/>
      <c r="F26" s="10"/>
      <c r="G26" s="8">
        <f t="shared" si="1"/>
        <v>0</v>
      </c>
      <c r="H26" s="8"/>
      <c r="I26" s="11"/>
      <c r="J26" s="8">
        <f t="shared" si="2"/>
        <v>0</v>
      </c>
      <c r="K26" s="8"/>
      <c r="L26" s="12"/>
      <c r="M26" s="13">
        <f t="shared" si="3"/>
        <v>0</v>
      </c>
    </row>
    <row r="27" spans="1:13" x14ac:dyDescent="0.25">
      <c r="A27" s="7">
        <v>46319</v>
      </c>
      <c r="B27" s="8"/>
      <c r="C27" s="9"/>
      <c r="D27" s="8">
        <f t="shared" si="0"/>
        <v>0</v>
      </c>
      <c r="E27" s="8"/>
      <c r="F27" s="10"/>
      <c r="G27" s="8">
        <f t="shared" si="1"/>
        <v>0</v>
      </c>
      <c r="H27" s="8"/>
      <c r="I27" s="11"/>
      <c r="J27" s="8">
        <f t="shared" si="2"/>
        <v>0</v>
      </c>
      <c r="K27" s="8"/>
      <c r="L27" s="12"/>
      <c r="M27" s="13">
        <f t="shared" si="3"/>
        <v>0</v>
      </c>
    </row>
    <row r="28" spans="1:13" x14ac:dyDescent="0.25">
      <c r="A28" s="7">
        <v>46320</v>
      </c>
      <c r="B28" s="8"/>
      <c r="C28" s="9"/>
      <c r="D28" s="8">
        <f t="shared" si="0"/>
        <v>0</v>
      </c>
      <c r="E28" s="8"/>
      <c r="F28" s="10"/>
      <c r="G28" s="8">
        <f t="shared" si="1"/>
        <v>0</v>
      </c>
      <c r="H28" s="8"/>
      <c r="I28" s="11"/>
      <c r="J28" s="8">
        <f t="shared" si="2"/>
        <v>0</v>
      </c>
      <c r="K28" s="8"/>
      <c r="L28" s="12"/>
      <c r="M28" s="13">
        <f t="shared" si="3"/>
        <v>0</v>
      </c>
    </row>
    <row r="29" spans="1:13" x14ac:dyDescent="0.25">
      <c r="A29" s="7">
        <v>46321</v>
      </c>
      <c r="B29" s="8"/>
      <c r="C29" s="9"/>
      <c r="D29" s="8">
        <f t="shared" si="0"/>
        <v>0</v>
      </c>
      <c r="E29" s="8"/>
      <c r="F29" s="10"/>
      <c r="G29" s="8">
        <f t="shared" si="1"/>
        <v>0</v>
      </c>
      <c r="H29" s="8"/>
      <c r="I29" s="11"/>
      <c r="J29" s="8">
        <f t="shared" si="2"/>
        <v>0</v>
      </c>
      <c r="K29" s="8"/>
      <c r="L29" s="12"/>
      <c r="M29" s="13">
        <f t="shared" si="3"/>
        <v>0</v>
      </c>
    </row>
    <row r="30" spans="1:13" x14ac:dyDescent="0.25">
      <c r="A30" s="7">
        <v>46322</v>
      </c>
      <c r="B30" s="8"/>
      <c r="C30" s="9"/>
      <c r="D30" s="8">
        <f t="shared" si="0"/>
        <v>0</v>
      </c>
      <c r="E30" s="8"/>
      <c r="F30" s="10"/>
      <c r="G30" s="8">
        <f t="shared" si="1"/>
        <v>0</v>
      </c>
      <c r="H30" s="8"/>
      <c r="I30" s="11"/>
      <c r="J30" s="8">
        <f t="shared" si="2"/>
        <v>0</v>
      </c>
      <c r="K30" s="8"/>
      <c r="L30" s="12"/>
      <c r="M30" s="13">
        <f t="shared" si="3"/>
        <v>0</v>
      </c>
    </row>
    <row r="31" spans="1:13" x14ac:dyDescent="0.25">
      <c r="A31" s="7">
        <v>46323</v>
      </c>
      <c r="B31" s="8"/>
      <c r="C31" s="9"/>
      <c r="D31" s="8">
        <f t="shared" si="0"/>
        <v>0</v>
      </c>
      <c r="E31" s="8"/>
      <c r="F31" s="10"/>
      <c r="G31" s="8">
        <f t="shared" si="1"/>
        <v>0</v>
      </c>
      <c r="H31" s="8"/>
      <c r="I31" s="11"/>
      <c r="J31" s="8">
        <f t="shared" si="2"/>
        <v>0</v>
      </c>
      <c r="K31" s="8"/>
      <c r="L31" s="12"/>
      <c r="M31" s="13">
        <f t="shared" si="3"/>
        <v>0</v>
      </c>
    </row>
    <row r="32" spans="1:13" x14ac:dyDescent="0.25">
      <c r="A32" s="7">
        <v>46324</v>
      </c>
      <c r="B32" s="8"/>
      <c r="C32" s="9"/>
      <c r="D32" s="8">
        <f t="shared" si="0"/>
        <v>0</v>
      </c>
      <c r="E32" s="8"/>
      <c r="F32" s="10"/>
      <c r="G32" s="8">
        <f t="shared" si="1"/>
        <v>0</v>
      </c>
      <c r="H32" s="8"/>
      <c r="I32" s="11"/>
      <c r="J32" s="8">
        <f t="shared" si="2"/>
        <v>0</v>
      </c>
      <c r="K32" s="8"/>
      <c r="L32" s="12"/>
      <c r="M32" s="13">
        <f t="shared" si="3"/>
        <v>0</v>
      </c>
    </row>
    <row r="33" spans="1:13" x14ac:dyDescent="0.25">
      <c r="A33" s="7">
        <v>46325</v>
      </c>
      <c r="B33" s="8"/>
      <c r="C33" s="9"/>
      <c r="D33" s="8">
        <f t="shared" si="0"/>
        <v>0</v>
      </c>
      <c r="E33" s="8"/>
      <c r="F33" s="10"/>
      <c r="G33" s="8">
        <f t="shared" si="1"/>
        <v>0</v>
      </c>
      <c r="H33" s="8"/>
      <c r="I33" s="11"/>
      <c r="J33" s="8">
        <f t="shared" si="2"/>
        <v>0</v>
      </c>
      <c r="K33" s="8"/>
      <c r="L33" s="12"/>
      <c r="M33" s="13">
        <f t="shared" si="3"/>
        <v>0</v>
      </c>
    </row>
    <row r="34" spans="1:13" x14ac:dyDescent="0.25">
      <c r="A34" s="7">
        <v>46326</v>
      </c>
      <c r="B34" s="8"/>
      <c r="C34" s="9"/>
      <c r="D34" s="8">
        <f t="shared" si="0"/>
        <v>0</v>
      </c>
      <c r="E34" s="8"/>
      <c r="F34" s="10"/>
      <c r="G34" s="8">
        <f t="shared" si="1"/>
        <v>0</v>
      </c>
      <c r="H34" s="8"/>
      <c r="I34" s="11"/>
      <c r="J34" s="8">
        <f t="shared" si="2"/>
        <v>0</v>
      </c>
      <c r="K34" s="8"/>
      <c r="L34" s="12"/>
      <c r="M34" s="13">
        <f t="shared" si="3"/>
        <v>0</v>
      </c>
    </row>
    <row r="35" spans="1:13" x14ac:dyDescent="0.25">
      <c r="A35" s="1"/>
      <c r="B35" s="14">
        <f>SUM(B4:B34)</f>
        <v>2474000</v>
      </c>
      <c r="C35" s="15">
        <f>SUM(C4:C34)</f>
        <v>1553000</v>
      </c>
      <c r="D35" s="8">
        <f>+B35-C35</f>
        <v>921000</v>
      </c>
      <c r="E35" s="14">
        <f>SUM(E4:E34)</f>
        <v>708000</v>
      </c>
      <c r="F35" s="16">
        <f>SUM(F4:F34)</f>
        <v>453000</v>
      </c>
      <c r="G35" s="8">
        <f>+E35-F35</f>
        <v>255000</v>
      </c>
      <c r="H35" s="14">
        <f>SUM(H4:H34)</f>
        <v>510000</v>
      </c>
      <c r="I35" s="17">
        <f>SUM(I4:I34)</f>
        <v>197000</v>
      </c>
      <c r="J35" s="8">
        <f t="shared" si="2"/>
        <v>313000</v>
      </c>
      <c r="K35" s="14">
        <f>SUM(K4:K34)</f>
        <v>60000</v>
      </c>
      <c r="L35" s="18">
        <f>SUM(L4:L34)</f>
        <v>0</v>
      </c>
      <c r="M35" s="13">
        <f>SUM(M4:M34)</f>
        <v>60000</v>
      </c>
    </row>
  </sheetData>
  <mergeCells count="5"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F37A-4422-46EF-8A07-6648A00304E2}">
  <dimension ref="A1:E38"/>
  <sheetViews>
    <sheetView workbookViewId="0">
      <selection activeCell="B2" sqref="B2"/>
    </sheetView>
  </sheetViews>
  <sheetFormatPr baseColWidth="10" defaultRowHeight="15" x14ac:dyDescent="0.25"/>
  <cols>
    <col min="2" max="2" width="16.85546875" customWidth="1"/>
    <col min="3" max="3" width="18.5703125" customWidth="1"/>
    <col min="4" max="4" width="16.28515625" customWidth="1"/>
    <col min="5" max="5" width="17" customWidth="1"/>
  </cols>
  <sheetData>
    <row r="1" spans="1:5" ht="21" x14ac:dyDescent="0.25">
      <c r="A1" s="1"/>
      <c r="B1" s="19" t="s">
        <v>12</v>
      </c>
      <c r="C1" s="19"/>
      <c r="D1" s="19"/>
      <c r="E1" s="19"/>
    </row>
    <row r="2" spans="1:5" x14ac:dyDescent="0.25">
      <c r="A2" s="1"/>
      <c r="B2" s="1" t="s">
        <v>8</v>
      </c>
      <c r="C2" s="1" t="s">
        <v>9</v>
      </c>
      <c r="D2" s="1" t="s">
        <v>10</v>
      </c>
      <c r="E2" s="1" t="s">
        <v>11</v>
      </c>
    </row>
    <row r="3" spans="1:5" x14ac:dyDescent="0.25">
      <c r="A3" s="20">
        <v>46296</v>
      </c>
      <c r="B3" s="8">
        <v>701000</v>
      </c>
      <c r="C3" s="8">
        <v>155000</v>
      </c>
      <c r="D3" s="8">
        <v>70000</v>
      </c>
      <c r="E3" s="8">
        <v>80000</v>
      </c>
    </row>
    <row r="4" spans="1:5" x14ac:dyDescent="0.25">
      <c r="A4" s="20">
        <v>46297</v>
      </c>
      <c r="B4" s="8">
        <v>711000</v>
      </c>
      <c r="C4" s="8">
        <v>150000</v>
      </c>
      <c r="D4" s="8">
        <v>82000</v>
      </c>
      <c r="E4" s="8">
        <v>60000</v>
      </c>
    </row>
    <row r="5" spans="1:5" x14ac:dyDescent="0.25">
      <c r="A5" s="20">
        <v>46298</v>
      </c>
      <c r="B5" s="8">
        <v>806000</v>
      </c>
      <c r="C5" s="8">
        <v>195000</v>
      </c>
      <c r="D5" s="8">
        <v>123000</v>
      </c>
      <c r="E5" s="8">
        <v>100000</v>
      </c>
    </row>
    <row r="6" spans="1:5" x14ac:dyDescent="0.25">
      <c r="A6" s="20">
        <v>46299</v>
      </c>
      <c r="B6" s="8">
        <v>550000</v>
      </c>
      <c r="C6" s="8">
        <v>65000</v>
      </c>
      <c r="D6" s="8">
        <v>24000</v>
      </c>
      <c r="E6" s="8">
        <v>20000</v>
      </c>
    </row>
    <row r="7" spans="1:5" x14ac:dyDescent="0.25">
      <c r="A7" s="20">
        <v>46300</v>
      </c>
      <c r="B7" s="8">
        <v>696000</v>
      </c>
      <c r="C7" s="8">
        <v>163000</v>
      </c>
      <c r="D7" s="8">
        <v>122000</v>
      </c>
      <c r="E7" s="8">
        <v>100000</v>
      </c>
    </row>
    <row r="8" spans="1:5" x14ac:dyDescent="0.25">
      <c r="A8" s="20">
        <v>46301</v>
      </c>
      <c r="B8" s="8">
        <v>540000</v>
      </c>
      <c r="C8" s="8">
        <v>125000</v>
      </c>
      <c r="D8" s="8">
        <v>124500</v>
      </c>
      <c r="E8" s="8">
        <v>120000</v>
      </c>
    </row>
    <row r="9" spans="1:5" x14ac:dyDescent="0.25">
      <c r="A9" s="20">
        <v>46302</v>
      </c>
      <c r="B9" s="8">
        <v>715000</v>
      </c>
      <c r="C9" s="8">
        <v>165000</v>
      </c>
      <c r="D9" s="8">
        <v>102000</v>
      </c>
      <c r="E9" s="8">
        <v>40000</v>
      </c>
    </row>
    <row r="10" spans="1:5" x14ac:dyDescent="0.25">
      <c r="A10" s="20">
        <v>46303</v>
      </c>
      <c r="B10" s="8">
        <v>708000</v>
      </c>
      <c r="C10" s="8">
        <v>180000</v>
      </c>
      <c r="D10" s="8">
        <v>130000</v>
      </c>
      <c r="E10" s="8">
        <v>100000</v>
      </c>
    </row>
    <row r="11" spans="1:5" x14ac:dyDescent="0.25">
      <c r="A11" s="20">
        <v>46304</v>
      </c>
      <c r="B11" s="8">
        <v>760000</v>
      </c>
      <c r="C11" s="8">
        <v>210000</v>
      </c>
      <c r="D11" s="8">
        <v>101000</v>
      </c>
      <c r="E11" s="8">
        <v>140000</v>
      </c>
    </row>
    <row r="12" spans="1:5" x14ac:dyDescent="0.25">
      <c r="A12" s="20">
        <v>46305</v>
      </c>
      <c r="B12" s="8">
        <v>667000</v>
      </c>
      <c r="C12" s="8">
        <v>210000</v>
      </c>
      <c r="D12" s="8">
        <v>122000</v>
      </c>
      <c r="E12" s="8">
        <v>120000</v>
      </c>
    </row>
    <row r="13" spans="1:5" x14ac:dyDescent="0.25">
      <c r="A13" s="20">
        <v>46306</v>
      </c>
      <c r="B13" s="8">
        <v>312000</v>
      </c>
      <c r="C13" s="8">
        <v>75000</v>
      </c>
      <c r="D13" s="8">
        <v>30000</v>
      </c>
      <c r="E13" s="8">
        <v>20000</v>
      </c>
    </row>
    <row r="14" spans="1:5" x14ac:dyDescent="0.25">
      <c r="A14" s="20">
        <v>46307</v>
      </c>
      <c r="B14" s="8"/>
      <c r="C14" s="8"/>
      <c r="D14" s="8"/>
      <c r="E14" s="8"/>
    </row>
    <row r="15" spans="1:5" x14ac:dyDescent="0.25">
      <c r="A15" s="20">
        <v>46308</v>
      </c>
      <c r="B15" s="8"/>
      <c r="C15" s="8"/>
      <c r="D15" s="8"/>
      <c r="E15" s="8"/>
    </row>
    <row r="16" spans="1:5" x14ac:dyDescent="0.25">
      <c r="A16" s="20">
        <v>46309</v>
      </c>
      <c r="B16" s="8"/>
      <c r="C16" s="8"/>
      <c r="D16" s="8"/>
      <c r="E16" s="8"/>
    </row>
    <row r="17" spans="1:5" x14ac:dyDescent="0.25">
      <c r="A17" s="20">
        <v>46310</v>
      </c>
      <c r="B17" s="8"/>
      <c r="C17" s="8"/>
      <c r="D17" s="8"/>
    </row>
    <row r="18" spans="1:5" x14ac:dyDescent="0.25">
      <c r="A18" s="20">
        <v>46311</v>
      </c>
      <c r="B18" s="8"/>
      <c r="C18" s="8"/>
      <c r="D18" s="8"/>
      <c r="E18" s="8"/>
    </row>
    <row r="19" spans="1:5" x14ac:dyDescent="0.25">
      <c r="A19" s="20">
        <v>46312</v>
      </c>
      <c r="B19" s="8"/>
      <c r="C19" s="8"/>
      <c r="D19" s="8"/>
      <c r="E19" s="8"/>
    </row>
    <row r="20" spans="1:5" x14ac:dyDescent="0.25">
      <c r="A20" s="20">
        <v>46313</v>
      </c>
      <c r="B20" s="8"/>
      <c r="C20" s="8"/>
      <c r="D20" s="8"/>
      <c r="E20" s="8"/>
    </row>
    <row r="21" spans="1:5" x14ac:dyDescent="0.25">
      <c r="A21" s="20">
        <v>46314</v>
      </c>
      <c r="B21" s="8"/>
      <c r="C21" s="8"/>
      <c r="D21" s="8"/>
      <c r="E21" s="8"/>
    </row>
    <row r="22" spans="1:5" x14ac:dyDescent="0.25">
      <c r="A22" s="20">
        <v>46315</v>
      </c>
      <c r="B22" s="8"/>
      <c r="C22" s="8"/>
      <c r="D22" s="8"/>
      <c r="E22" s="8"/>
    </row>
    <row r="23" spans="1:5" x14ac:dyDescent="0.25">
      <c r="A23" s="20">
        <v>46316</v>
      </c>
      <c r="B23" s="14"/>
      <c r="C23" s="14"/>
      <c r="D23" s="14"/>
      <c r="E23" s="14"/>
    </row>
    <row r="24" spans="1:5" x14ac:dyDescent="0.25">
      <c r="A24" s="20">
        <v>46317</v>
      </c>
      <c r="B24" s="21"/>
      <c r="C24" s="8"/>
      <c r="D24" s="8"/>
      <c r="E24" s="8"/>
    </row>
    <row r="25" spans="1:5" x14ac:dyDescent="0.25">
      <c r="A25" s="20">
        <v>46318</v>
      </c>
      <c r="B25" s="8"/>
      <c r="C25" s="8"/>
      <c r="D25" s="8"/>
      <c r="E25" s="8"/>
    </row>
    <row r="26" spans="1:5" x14ac:dyDescent="0.25">
      <c r="A26" s="20">
        <v>46319</v>
      </c>
      <c r="B26" s="8"/>
      <c r="C26" s="8"/>
      <c r="D26" s="8"/>
      <c r="E26" s="8"/>
    </row>
    <row r="27" spans="1:5" x14ac:dyDescent="0.25">
      <c r="A27" s="20">
        <v>46320</v>
      </c>
      <c r="B27" s="8"/>
      <c r="C27" s="8"/>
      <c r="D27" s="8"/>
      <c r="E27" s="8"/>
    </row>
    <row r="28" spans="1:5" x14ac:dyDescent="0.25">
      <c r="A28" s="20">
        <v>46321</v>
      </c>
      <c r="B28" s="8"/>
      <c r="C28" s="8"/>
      <c r="D28" s="8"/>
      <c r="E28" s="8"/>
    </row>
    <row r="29" spans="1:5" x14ac:dyDescent="0.25">
      <c r="A29" s="20">
        <v>46322</v>
      </c>
      <c r="B29" s="8"/>
      <c r="C29" s="8"/>
      <c r="D29" s="8"/>
      <c r="E29" s="8"/>
    </row>
    <row r="30" spans="1:5" x14ac:dyDescent="0.25">
      <c r="A30" s="20">
        <v>46323</v>
      </c>
      <c r="B30" s="8"/>
      <c r="C30" s="8"/>
      <c r="D30" s="8"/>
      <c r="E30" s="8"/>
    </row>
    <row r="31" spans="1:5" x14ac:dyDescent="0.25">
      <c r="A31" s="20">
        <v>46324</v>
      </c>
      <c r="B31" s="8"/>
      <c r="C31" s="8"/>
      <c r="D31" s="8"/>
      <c r="E31" s="8"/>
    </row>
    <row r="32" spans="1:5" x14ac:dyDescent="0.25">
      <c r="A32" s="20">
        <v>46325</v>
      </c>
      <c r="B32" s="8"/>
      <c r="C32" s="8"/>
      <c r="D32" s="8"/>
      <c r="E32" s="8"/>
    </row>
    <row r="33" spans="1:5" x14ac:dyDescent="0.25">
      <c r="A33" s="20">
        <v>46326</v>
      </c>
      <c r="B33" s="8"/>
      <c r="C33" s="8"/>
      <c r="D33" s="8"/>
      <c r="E33" s="8"/>
    </row>
    <row r="34" spans="1:5" x14ac:dyDescent="0.25">
      <c r="A34" s="1"/>
      <c r="B34" s="14">
        <f>SUM(B3:B33)</f>
        <v>7166000</v>
      </c>
      <c r="C34" s="14">
        <f>SUM(C3:C33)</f>
        <v>1693000</v>
      </c>
      <c r="D34" s="14">
        <f>SUM(D3:D33)</f>
        <v>1030500</v>
      </c>
      <c r="E34" s="14">
        <f>SUM(E3:E33)</f>
        <v>900000</v>
      </c>
    </row>
    <row r="35" spans="1:5" x14ac:dyDescent="0.25">
      <c r="A35" s="1"/>
      <c r="B35" s="8"/>
      <c r="C35" s="8"/>
      <c r="D35" s="8"/>
      <c r="E35" s="8"/>
    </row>
    <row r="36" spans="1:5" x14ac:dyDescent="0.25">
      <c r="B36" s="22"/>
      <c r="C36" s="22"/>
      <c r="D36" s="22"/>
      <c r="E36" s="22"/>
    </row>
    <row r="38" spans="1:5" x14ac:dyDescent="0.25">
      <c r="E38" s="23">
        <f>+B34+'[1]SERVICE RAVINALA SEPTEMBRE'!B35</f>
        <v>21346000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MAGASIN RAVINALA</dc:creator>
  <cp:lastModifiedBy>MAGASIN RAVINALA</cp:lastModifiedBy>
  <dcterms:created xsi:type="dcterms:W3CDTF">2026-10-12T14:29:32Z</dcterms:created>
  <dcterms:modified xsi:type="dcterms:W3CDTF">2026-10-12T14:32:12Z</dcterms:modified>
</cp:coreProperties>
</file>